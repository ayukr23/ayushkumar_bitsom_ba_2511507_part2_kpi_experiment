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bi\Downloads\ayushkumar_bitsom_ba_2511507_part2_kpi_experiment\analysis\"/>
    </mc:Choice>
  </mc:AlternateContent>
  <xr:revisionPtr revIDLastSave="0" documentId="13_ncr:1_{BCC6159E-EA33-420C-A88B-0B25A9E76FD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xperiment_data" sheetId="2" r:id="rId1"/>
    <sheet name="data_cleaning_log" sheetId="1" r:id="rId2"/>
    <sheet name="missing_values" sheetId="3" r:id="rId3"/>
    <sheet name="duplicate_records" sheetId="4" r:id="rId4"/>
    <sheet name="final_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3" l="1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<sst xmlns="http://schemas.openxmlformats.org/spreadsheetml/2006/main" count="8642" uniqueCount="1572">
  <si>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</si>
  <si>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</si>
  <si>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</si>
  <si>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</si>
  <si>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</si>
  <si>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</si>
  <si>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</si>
  <si>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</si>
  <si>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</si>
  <si>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</si>
  <si>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</si>
  <si>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</si>
  <si>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</si>
  <si>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</si>
  <si>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</si>
  <si>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</si>
  <si>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</si>
  <si>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</si>
  <si>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</si>
  <si>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</si>
  <si>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</si>
  <si>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</si>
  <si>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</si>
  <si>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</si>
  <si>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</si>
  <si>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</si>
  <si>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</si>
  <si>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</si>
  <si>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</si>
  <si>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</si>
  <si>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</si>
  <si>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</si>
  <si>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</si>
  <si>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</si>
  <si>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</si>
  <si>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</si>
  <si>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</si>
  <si>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</si>
  <si>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</si>
  <si>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</si>
  <si>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</si>
  <si>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</si>
  <si>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</si>
  <si>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</si>
  <si>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</si>
  <si>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</si>
  <si>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</si>
  <si>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</si>
  <si>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</si>
  <si>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</si>
  <si>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</si>
  <si>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</si>
  <si>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</si>
  <si>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</si>
  <si>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</si>
  <si>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</si>
  <si>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</si>
  <si>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</si>
  <si>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</si>
  <si>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</si>
  <si>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</si>
  <si>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</si>
  <si>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</si>
  <si>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</si>
  <si>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</si>
  <si>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</si>
  <si>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</si>
  <si>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</si>
  <si>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</si>
  <si>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</si>
  <si>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</si>
  <si>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</si>
  <si>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</si>
  <si>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</si>
  <si>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</si>
  <si>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</si>
  <si>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</si>
  <si>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</si>
  <si>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</si>
  <si>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</si>
  <si>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</si>
  <si>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</si>
  <si>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</si>
  <si>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</si>
  <si>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</si>
  <si>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</si>
  <si>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</si>
  <si>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</si>
  <si>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</si>
  <si>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</si>
  <si>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</si>
  <si>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</si>
  <si>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</si>
  <si>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</si>
  <si>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</si>
  <si>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</si>
  <si>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</si>
  <si>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</si>
  <si>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</si>
  <si>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</si>
  <si>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</si>
  <si>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</si>
  <si>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</si>
  <si>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</si>
  <si>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</si>
  <si>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</si>
  <si>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</si>
  <si>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</si>
  <si>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</si>
  <si>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</si>
  <si>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</si>
  <si>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</si>
  <si>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</si>
  <si>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</si>
  <si>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</si>
  <si>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</si>
  <si>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</si>
  <si>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</si>
  <si>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</si>
  <si>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</si>
  <si>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</si>
  <si>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</si>
  <si>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</si>
  <si>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</si>
  <si>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</si>
  <si>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</si>
  <si>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</si>
  <si>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</si>
  <si>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</si>
  <si>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</si>
  <si>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</si>
  <si>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</si>
  <si>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</si>
  <si>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</si>
  <si>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</si>
  <si>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</si>
  <si>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</si>
  <si>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</si>
  <si>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</si>
  <si>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</si>
  <si>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</si>
  <si>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</si>
  <si>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</si>
  <si>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</si>
  <si>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</si>
  <si>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</si>
  <si>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</si>
  <si>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</si>
  <si>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</si>
  <si>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</si>
  <si>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</si>
  <si>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</si>
  <si>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</si>
  <si>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</si>
  <si>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</si>
  <si>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</si>
  <si>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</si>
  <si>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</si>
  <si>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</si>
  <si>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</si>
  <si>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</si>
  <si>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</si>
  <si>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</si>
  <si>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</si>
  <si>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</si>
  <si>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</si>
  <si>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</si>
  <si>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</si>
  <si>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</si>
  <si>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</si>
  <si>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</si>
  <si>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</si>
  <si>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</si>
  <si>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</si>
  <si>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</si>
  <si>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</si>
  <si>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</si>
  <si>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</si>
  <si>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</si>
  <si>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</si>
  <si>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</si>
  <si>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</si>
  <si>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</si>
  <si>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</si>
  <si>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</si>
  <si>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</si>
  <si>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</si>
  <si>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</si>
  <si>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</si>
  <si>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</si>
  <si>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</si>
  <si>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</si>
  <si>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</si>
  <si>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</si>
  <si>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</si>
  <si>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</si>
  <si>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</si>
  <si>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</si>
  <si>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</si>
  <si>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</si>
  <si>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</si>
  <si>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</si>
  <si>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</si>
  <si>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</si>
  <si>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</si>
  <si>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</si>
  <si>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</si>
  <si>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</si>
  <si>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</si>
  <si>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</si>
  <si>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</si>
  <si>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</si>
  <si>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</si>
  <si>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</si>
  <si>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</si>
  <si>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</si>
  <si>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</si>
  <si>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</si>
  <si>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</si>
  <si>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</si>
  <si>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</si>
  <si>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</si>
  <si>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</si>
  <si>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</si>
  <si>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</si>
  <si>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</si>
  <si>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</si>
  <si>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</si>
  <si>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</si>
  <si>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</si>
  <si>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</si>
  <si>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</si>
  <si>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</si>
  <si>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</si>
  <si>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</si>
  <si>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</si>
  <si>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</si>
  <si>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</si>
  <si>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</si>
  <si>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</si>
  <si>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</si>
  <si>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</si>
  <si>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</si>
  <si>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</si>
  <si>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</si>
  <si>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</si>
  <si>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</si>
  <si>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</si>
  <si>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</si>
  <si>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</si>
  <si>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</si>
  <si>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</si>
  <si>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</si>
  <si>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</si>
  <si>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</si>
  <si>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</si>
  <si>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</si>
  <si>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</si>
  <si>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</si>
  <si>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</si>
  <si>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</si>
  <si>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</si>
  <si>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</si>
  <si>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</si>
  <si>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</si>
  <si>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</si>
  <si>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</si>
  <si>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</si>
  <si>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</si>
  <si>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</si>
  <si>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</si>
  <si>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</si>
  <si>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</si>
  <si>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</si>
  <si>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</si>
  <si>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</si>
  <si>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</si>
  <si>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</si>
  <si>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</si>
  <si>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</si>
  <si>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</si>
  <si>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</si>
  <si>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</si>
  <si>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</si>
  <si>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</si>
  <si>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</si>
  <si>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</si>
  <si>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</si>
  <si>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</si>
  <si>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</si>
  <si>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</si>
  <si>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</si>
  <si>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</si>
  <si>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</si>
  <si>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</si>
  <si>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</si>
  <si>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</si>
  <si>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</si>
  <si>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</si>
  <si>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</si>
  <si>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</si>
  <si>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</si>
  <si>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</si>
  <si>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</si>
  <si>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</si>
  <si>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</si>
  <si>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</si>
  <si>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</si>
  <si>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</si>
  <si>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</si>
  <si>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</si>
  <si>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</si>
  <si>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</si>
  <si>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</si>
  <si>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</si>
  <si>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</si>
  <si>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</si>
  <si>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</si>
  <si>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</si>
  <si>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</si>
  <si>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</si>
  <si>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</si>
  <si>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</si>
  <si>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</si>
  <si>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</si>
  <si>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</si>
  <si>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</si>
  <si>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</si>
  <si>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</si>
  <si>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</si>
  <si>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</si>
  <si>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</si>
  <si>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</si>
  <si>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</si>
  <si>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</si>
  <si>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</si>
  <si>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</si>
  <si>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</si>
  <si>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</si>
  <si>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</si>
  <si>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</si>
  <si>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</si>
  <si>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</si>
  <si>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</si>
  <si>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</si>
  <si>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</si>
  <si>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</si>
  <si>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</si>
  <si>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</si>
  <si>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</si>
  <si>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</si>
  <si>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</si>
  <si>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</si>
  <si>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</si>
  <si>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</si>
  <si>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</si>
  <si>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</si>
  <si>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</si>
  <si>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</si>
  <si>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</si>
  <si>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</si>
  <si>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</si>
  <si>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</si>
  <si>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</si>
  <si>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</si>
  <si>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</si>
  <si>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</si>
  <si>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</si>
  <si>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</si>
  <si>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</si>
  <si>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</si>
  <si>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</si>
  <si>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</si>
  <si>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</si>
  <si>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</si>
  <si>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</si>
  <si>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</si>
  <si>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</si>
  <si>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</si>
  <si>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</si>
  <si>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</si>
  <si>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</si>
  <si>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</si>
  <si>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</si>
  <si>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</si>
  <si>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</si>
  <si>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</si>
  <si>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</si>
  <si>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</si>
  <si>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</si>
  <si>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</si>
  <si>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</si>
  <si>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</si>
  <si>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</si>
  <si>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</si>
  <si>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</si>
  <si>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</si>
  <si>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</si>
  <si>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</si>
  <si>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</si>
  <si>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</si>
  <si>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</si>
  <si>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</si>
  <si>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</si>
  <si>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</si>
  <si>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</si>
  <si>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</si>
  <si>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</si>
  <si>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</si>
  <si>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</si>
  <si>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</si>
  <si>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</si>
  <si>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</si>
  <si>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</si>
  <si>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</si>
  <si>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</si>
  <si>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</si>
  <si>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</si>
  <si>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</si>
  <si>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</si>
  <si>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</si>
  <si>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</si>
  <si>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</si>
  <si>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</si>
  <si>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</si>
  <si>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</si>
  <si>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</si>
  <si>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</si>
  <si>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</si>
  <si>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</si>
  <si>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</si>
  <si>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</si>
  <si>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</si>
  <si>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</si>
  <si>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</si>
  <si>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</si>
  <si>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</si>
  <si>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</si>
  <si>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</si>
  <si>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</si>
  <si>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</si>
  <si>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</si>
  <si>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</si>
  <si>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</si>
  <si>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</si>
  <si>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</si>
  <si>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</si>
  <si>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</si>
  <si>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</si>
  <si>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</si>
  <si>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</si>
  <si>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</si>
  <si>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</si>
  <si>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</si>
  <si>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</si>
  <si>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</si>
  <si>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</si>
  <si>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</si>
  <si>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</si>
  <si>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</si>
  <si>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</si>
  <si>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</si>
  <si>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</si>
  <si>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</si>
  <si>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</si>
  <si>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</si>
  <si>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</si>
  <si>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</si>
  <si>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</si>
  <si>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</si>
  <si>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</si>
  <si>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</si>
  <si>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</si>
  <si>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</si>
  <si>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</si>
  <si>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</si>
  <si>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</si>
  <si>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</si>
  <si>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</si>
  <si>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</si>
  <si>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</si>
  <si>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</si>
  <si>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</si>
  <si>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</si>
  <si>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</si>
  <si>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</si>
  <si>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</si>
  <si>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</si>
  <si>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</si>
  <si>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</si>
  <si>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</si>
  <si>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</si>
  <si>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</si>
  <si>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</si>
  <si>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</si>
  <si>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</si>
  <si>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</si>
  <si>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</si>
  <si>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</si>
  <si>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</si>
  <si>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</si>
  <si>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</si>
  <si>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</si>
  <si>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</si>
  <si>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</si>
  <si>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</si>
  <si>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</si>
  <si>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</si>
  <si>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</si>
  <si>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</si>
  <si>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</si>
  <si>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</si>
  <si>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</si>
  <si>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</si>
  <si>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</si>
  <si>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</si>
  <si>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</si>
  <si>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</si>
  <si>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</si>
  <si>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</si>
  <si>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</si>
  <si>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</si>
  <si>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</si>
  <si>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</si>
  <si>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</si>
  <si>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</si>
  <si>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</si>
  <si>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</si>
  <si>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</si>
  <si>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</si>
  <si>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</si>
  <si>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</si>
  <si>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</si>
  <si>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</si>
  <si>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</si>
  <si>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</si>
  <si>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</si>
  <si>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</si>
  <si>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</si>
  <si>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</si>
  <si>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</si>
  <si>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</si>
  <si>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</si>
  <si>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</si>
  <si>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</si>
  <si>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</si>
  <si>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</si>
  <si>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</si>
  <si>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</si>
  <si>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</si>
  <si>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</si>
  <si>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</si>
  <si>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</si>
  <si>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</si>
  <si>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</si>
  <si>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</si>
  <si>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</si>
  <si>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</si>
  <si>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</si>
  <si>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</si>
  <si>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</si>
  <si>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</si>
  <si>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</si>
  <si>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</si>
  <si>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</si>
  <si>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</si>
  <si>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</si>
  <si>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</si>
  <si>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</si>
  <si>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</si>
  <si>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</si>
  <si>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</si>
  <si>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</si>
  <si>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</si>
  <si>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</si>
  <si>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</si>
  <si>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</si>
  <si>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</si>
  <si>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</si>
  <si>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</si>
  <si>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</si>
  <si>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</si>
  <si>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</si>
  <si>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</si>
  <si>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</si>
  <si>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</si>
  <si>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</si>
  <si>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</si>
  <si>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</si>
  <si>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</si>
  <si>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</si>
  <si>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</si>
  <si>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</si>
  <si>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</si>
  <si>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</si>
  <si>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</si>
  <si>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</si>
  <si>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</si>
  <si>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</si>
  <si>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</si>
  <si>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</si>
  <si>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</si>
  <si>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</si>
  <si>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</si>
  <si>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</si>
  <si>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</si>
  <si>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</si>
  <si>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</si>
  <si>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</si>
  <si>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</si>
  <si>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</si>
  <si>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</si>
  <si>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</si>
  <si>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</si>
  <si>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</si>
  <si>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</si>
  <si>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</si>
  <si>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</si>
  <si>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</si>
  <si>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</si>
  <si>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</si>
  <si>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</si>
  <si>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</si>
  <si>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</si>
  <si>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</si>
  <si>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</si>
  <si>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</si>
  <si>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</si>
  <si>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</si>
  <si>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</si>
  <si>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</si>
  <si>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</si>
  <si>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</si>
  <si>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</si>
  <si>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</si>
  <si>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</si>
  <si>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</si>
  <si>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</si>
  <si>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</si>
  <si>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</si>
  <si>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</si>
  <si>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</si>
  <si>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</si>
  <si>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</si>
  <si>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</si>
  <si>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</si>
  <si>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</si>
  <si>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</si>
  <si>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</si>
  <si>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</si>
  <si>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</si>
  <si>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</si>
  <si>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</si>
  <si>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</si>
  <si>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</si>
  <si>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</si>
  <si>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</si>
  <si>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</si>
  <si>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</si>
  <si>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</si>
  <si>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</si>
  <si>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</si>
  <si>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</si>
  <si>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</si>
  <si>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</si>
  <si>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</si>
  <si>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</si>
  <si>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</si>
  <si>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</si>
  <si>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</si>
  <si>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</si>
  <si>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</si>
  <si>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</si>
  <si>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</si>
  <si>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</si>
  <si>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</si>
  <si>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</si>
  <si>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</si>
  <si>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</si>
  <si>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</si>
  <si>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</si>
  <si>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</si>
  <si>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</si>
  <si>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</si>
  <si>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</si>
  <si>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</si>
  <si>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</si>
  <si>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</si>
  <si>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</si>
  <si>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</si>
  <si>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</si>
  <si>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</si>
  <si>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</si>
  <si>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</si>
  <si>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</si>
  <si>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</si>
  <si>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</si>
  <si>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</si>
  <si>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</si>
  <si>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</si>
  <si>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</si>
  <si>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</si>
  <si>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</si>
  <si>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</si>
  <si>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</si>
  <si>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</si>
  <si>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</si>
  <si>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</si>
  <si>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</si>
  <si>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</si>
  <si>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</si>
  <si>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</si>
  <si>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</si>
  <si>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</si>
  <si>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</si>
  <si>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</si>
  <si>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</si>
  <si>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</si>
  <si>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</si>
  <si>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</si>
  <si>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</si>
  <si>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</si>
  <si>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</si>
  <si>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</si>
  <si>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</si>
  <si>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</si>
  <si>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</si>
  <si>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</si>
  <si>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</si>
  <si>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</si>
  <si>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</si>
  <si>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</si>
  <si>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</si>
  <si>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</si>
  <si>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</si>
  <si>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</si>
  <si>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</si>
  <si>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</si>
  <si>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</si>
  <si>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</si>
  <si>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</si>
  <si>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</si>
  <si>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</si>
  <si>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</si>
  <si>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</si>
  <si>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</si>
  <si>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</si>
  <si>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</si>
  <si>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</si>
  <si>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</si>
  <si>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</si>
  <si>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</si>
  <si>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</si>
  <si>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</si>
  <si>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</si>
  <si>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</si>
  <si>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</si>
  <si>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</si>
  <si>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</si>
  <si>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</si>
  <si>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</si>
  <si>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</si>
  <si>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</si>
  <si>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</si>
  <si>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</si>
  <si>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</si>
  <si>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</si>
  <si>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</si>
  <si>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</si>
  <si>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</si>
  <si>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</si>
  <si>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</si>
  <si>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</si>
  <si>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</si>
  <si>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</si>
  <si>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</si>
  <si>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</si>
  <si>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</si>
  <si>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</si>
  <si>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</si>
  <si>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</si>
  <si>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</si>
  <si>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</si>
  <si>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</si>
  <si>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</si>
  <si>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</si>
  <si>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</si>
  <si>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</si>
  <si>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</si>
  <si>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</si>
  <si>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</si>
  <si>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</si>
  <si>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</si>
  <si>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</si>
  <si>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</si>
  <si>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</si>
  <si>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</si>
  <si>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</si>
  <si>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</si>
  <si>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</si>
  <si>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</si>
  <si>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</si>
  <si>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</si>
  <si>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</si>
  <si>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</si>
  <si>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</si>
  <si>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</si>
  <si>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</si>
  <si>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</si>
  <si>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</si>
  <si>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</si>
  <si>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</si>
  <si>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</si>
  <si>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</si>
  <si>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</si>
  <si>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</si>
  <si>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</si>
  <si>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</si>
  <si>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</si>
  <si>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</si>
  <si>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</si>
  <si>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</si>
  <si>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</si>
  <si>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</si>
  <si>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</si>
  <si>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</si>
  <si>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</si>
  <si>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</si>
  <si>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</si>
  <si>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</si>
  <si>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</si>
  <si>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</si>
  <si>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</si>
  <si>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</si>
  <si>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</si>
  <si>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</si>
  <si>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</si>
  <si>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</si>
  <si>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</si>
  <si>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</si>
  <si>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</si>
  <si>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</si>
  <si>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</si>
  <si>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</si>
  <si>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</si>
  <si>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</si>
  <si>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</si>
  <si>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</si>
  <si>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</si>
  <si>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</si>
  <si>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</si>
  <si>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</si>
  <si>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</si>
  <si>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</si>
  <si>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</si>
  <si>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</si>
  <si>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</si>
  <si>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</si>
  <si>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</si>
  <si>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</si>
  <si>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</si>
  <si>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</si>
  <si>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</si>
  <si>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</si>
  <si>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</si>
  <si>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</si>
  <si>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</si>
  <si>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</si>
  <si>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</si>
  <si>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</si>
  <si>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</si>
  <si>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</si>
  <si>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</si>
  <si>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</si>
  <si>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</si>
  <si>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</si>
  <si>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</si>
  <si>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</si>
  <si>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</si>
  <si>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</si>
  <si>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</si>
  <si>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</si>
  <si>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</si>
  <si>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</si>
  <si>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</si>
  <si>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</si>
  <si>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</si>
  <si>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</si>
  <si>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</si>
  <si>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</si>
  <si>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</si>
  <si>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</si>
  <si>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</si>
  <si>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</si>
  <si>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</si>
  <si>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</si>
  <si>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</si>
  <si>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</si>
  <si>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</si>
  <si>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</si>
  <si>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</si>
  <si>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</si>
  <si>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</si>
  <si>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</si>
  <si>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</si>
  <si>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</si>
  <si>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</si>
  <si>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</si>
  <si>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</si>
  <si>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</si>
  <si>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</si>
  <si>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</si>
  <si>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</si>
  <si>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</si>
  <si>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</si>
  <si>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</si>
  <si>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</si>
  <si>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</si>
  <si>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</si>
  <si>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</si>
  <si>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</si>
  <si>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</si>
  <si>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</si>
  <si>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</si>
  <si>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</si>
  <si>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</si>
  <si>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</si>
  <si>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</si>
  <si>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</si>
  <si>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</si>
  <si>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</si>
  <si>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</si>
  <si>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</si>
  <si>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</si>
  <si>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</si>
  <si>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</si>
  <si>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</si>
  <si>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</si>
  <si>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</si>
  <si>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</si>
  <si>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</si>
  <si>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</si>
  <si>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</si>
  <si>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</si>
  <si>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</si>
  <si>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</si>
  <si>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</si>
  <si>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</si>
  <si>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</si>
  <si>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</si>
  <si>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</si>
  <si>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</si>
  <si>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</si>
  <si>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</si>
  <si>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</si>
  <si>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</si>
  <si>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</si>
  <si>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</si>
  <si>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</si>
  <si>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</si>
  <si>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</si>
  <si>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</si>
  <si>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</si>
  <si>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</si>
  <si>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</si>
  <si>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</si>
  <si>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</si>
  <si>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</si>
  <si>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</si>
  <si>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</si>
  <si>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</si>
  <si>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</si>
  <si>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</si>
  <si>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</si>
  <si>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</si>
  <si>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</si>
  <si>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</si>
  <si>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</si>
  <si>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</si>
  <si>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</si>
  <si>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</si>
  <si>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</si>
  <si>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</si>
  <si>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</si>
  <si>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</si>
  <si>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</si>
  <si>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</si>
  <si>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</si>
  <si>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</si>
  <si>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</si>
  <si>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</si>
  <si>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</si>
  <si>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</si>
  <si>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</si>
  <si>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</si>
  <si>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</si>
  <si>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</si>
  <si>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</si>
  <si>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</si>
  <si>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</si>
  <si>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</si>
  <si>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</si>
  <si>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</si>
  <si>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</si>
  <si>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</si>
  <si>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</si>
  <si>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</si>
  <si>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</si>
  <si>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</si>
  <si>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</si>
  <si>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</si>
  <si>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</si>
  <si>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</si>
  <si>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</si>
  <si>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</si>
  <si>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</si>
  <si>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</si>
  <si>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</si>
  <si>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</si>
  <si>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</si>
  <si>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</si>
  <si>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</si>
  <si>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</si>
  <si>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</si>
  <si>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</si>
  <si>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</si>
  <si>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</si>
  <si>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</si>
  <si>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</si>
  <si>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</si>
  <si>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</si>
  <si>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</si>
  <si>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</si>
  <si>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</si>
  <si>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</si>
  <si>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</si>
  <si>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</si>
  <si>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</si>
  <si>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</si>
  <si>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</si>
  <si>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</si>
  <si>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</si>
  <si>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</si>
  <si>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</si>
  <si>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</si>
  <si>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</si>
  <si>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</si>
  <si>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</si>
  <si>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</si>
  <si>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</si>
  <si>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</si>
  <si>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</si>
  <si>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</si>
  <si>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</si>
  <si>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</si>
  <si>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</si>
  <si>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</si>
  <si>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</si>
  <si>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</si>
  <si>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</si>
  <si>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</si>
  <si>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</si>
  <si>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</si>
  <si>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</si>
  <si>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</si>
  <si>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</si>
  <si>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</si>
  <si>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</si>
  <si>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</si>
  <si>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</si>
  <si>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</si>
  <si>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</si>
  <si>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</si>
  <si>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</si>
  <si>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</si>
  <si>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</si>
  <si>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</si>
  <si>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</si>
  <si>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</si>
  <si>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</si>
  <si>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</si>
  <si>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</si>
  <si>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</si>
  <si>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</si>
  <si>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</si>
  <si>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</si>
  <si>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</si>
  <si>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</si>
  <si>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</si>
  <si>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</si>
  <si>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</si>
  <si>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</si>
  <si>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</si>
  <si>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</si>
  <si>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</si>
  <si>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</si>
  <si>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</si>
  <si>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</si>
  <si>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</si>
  <si>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</si>
  <si>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</si>
  <si>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</si>
  <si>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</si>
  <si>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</si>
  <si>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</si>
  <si>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</si>
  <si>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</si>
  <si>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</si>
  <si>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</si>
  <si>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</si>
  <si>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</si>
  <si>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</si>
  <si>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</si>
  <si>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</si>
  <si>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</si>
  <si>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</si>
  <si>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</si>
  <si>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</si>
  <si>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</si>
  <si>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</si>
  <si>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</si>
  <si>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</si>
  <si>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</si>
  <si>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</si>
  <si>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</si>
  <si>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</si>
  <si>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</si>
  <si>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</si>
  <si>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</si>
  <si>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</si>
  <si>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</si>
  <si>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</si>
  <si>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</si>
  <si>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</si>
  <si>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</si>
  <si>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</si>
  <si>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</si>
  <si>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</si>
  <si>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</si>
  <si>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</si>
  <si>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</si>
  <si>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</si>
  <si>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</si>
  <si>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</si>
  <si>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</si>
  <si>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</si>
  <si>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</si>
  <si>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</si>
  <si>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</si>
  <si>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</si>
  <si>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</si>
  <si>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</si>
  <si>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</si>
  <si>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</si>
  <si>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</si>
  <si>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</si>
  <si>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</si>
  <si>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</si>
  <si>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</si>
  <si>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</si>
  <si>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</si>
  <si>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</si>
  <si>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</si>
  <si>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</si>
  <si>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</si>
  <si>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</si>
  <si>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</si>
  <si>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</si>
  <si>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</si>
  <si>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</si>
  <si>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</si>
  <si>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</si>
  <si>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</si>
  <si>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</si>
  <si>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</si>
  <si>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</si>
  <si>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</si>
  <si>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</si>
  <si>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</si>
  <si>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</si>
  <si>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</si>
  <si>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</si>
  <si>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</si>
  <si>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</si>
  <si>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</si>
  <si>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</si>
  <si>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</si>
  <si>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</si>
  <si>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</si>
  <si>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</si>
  <si>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</si>
  <si>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</si>
  <si>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</si>
  <si>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</si>
  <si>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</si>
  <si>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</si>
  <si>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</si>
  <si>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</si>
  <si>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</si>
  <si>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</si>
  <si>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</si>
  <si>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</si>
  <si>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</si>
  <si>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</si>
  <si>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</si>
  <si>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</si>
  <si>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</si>
  <si>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</si>
  <si>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</si>
  <si>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</si>
  <si>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</si>
  <si>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</si>
  <si>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</si>
  <si>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</si>
  <si>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</si>
  <si>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</si>
  <si>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</si>
  <si>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</si>
  <si>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</si>
  <si>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</si>
  <si>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</si>
  <si>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</si>
  <si>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</si>
  <si>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</si>
  <si>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</si>
  <si>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</si>
  <si>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</si>
  <si>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</si>
  <si>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</si>
  <si>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</si>
  <si>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</si>
  <si>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</si>
  <si>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</si>
  <si>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</si>
  <si>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</si>
  <si>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</si>
  <si>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</si>
  <si>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</si>
  <si>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</si>
  <si>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</si>
  <si>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</si>
  <si>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</si>
  <si>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</si>
  <si>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</si>
  <si>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</si>
  <si>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</si>
  <si>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</si>
  <si>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</si>
  <si>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</si>
  <si>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</si>
  <si>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</si>
  <si>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</si>
  <si>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</si>
  <si>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</si>
  <si>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</si>
  <si>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</si>
  <si>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</si>
  <si>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</si>
  <si>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</si>
  <si>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</si>
  <si>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</si>
  <si>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</si>
  <si>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</si>
  <si>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</si>
  <si>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</si>
  <si>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</si>
  <si>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</si>
  <si>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</si>
  <si>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</si>
  <si>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</si>
  <si>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</si>
  <si>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</si>
  <si>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</si>
  <si>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</si>
  <si>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</si>
  <si>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</si>
  <si>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</si>
  <si>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</si>
  <si>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</si>
  <si>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</si>
  <si>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</si>
  <si>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</si>
  <si>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</si>
  <si>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</si>
  <si>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</si>
  <si>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</si>
  <si>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</si>
  <si>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</si>
  <si>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</si>
  <si>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</si>
  <si>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</si>
  <si>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</si>
  <si>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</si>
  <si>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</si>
  <si>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</si>
  <si>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</si>
  <si>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</si>
  <si>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</si>
  <si>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</si>
  <si>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</si>
  <si>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</si>
  <si>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</si>
  <si>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</si>
  <si>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</si>
  <si>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</si>
  <si>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</si>
  <si>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</si>
  <si>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</si>
  <si>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</si>
  <si>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</si>
  <si>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</si>
  <si>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</si>
  <si>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</si>
  <si>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</si>
  <si>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</si>
  <si>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</si>
  <si>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</si>
  <si>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</si>
  <si>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</si>
  <si>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</si>
  <si>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</si>
  <si>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</si>
  <si>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</si>
  <si>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</si>
  <si>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</si>
  <si>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</si>
  <si>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</si>
  <si>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</si>
  <si>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</si>
  <si>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</si>
  <si>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</si>
  <si>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</si>
  <si>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</si>
  <si>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</si>
  <si>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</si>
  <si>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</si>
  <si>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</si>
  <si>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</si>
  <si>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</si>
  <si>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</si>
  <si>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</si>
  <si>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</si>
  <si>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</si>
  <si>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</si>
  <si>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</si>
  <si>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</si>
  <si>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</si>
  <si>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</si>
  <si>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</si>
  <si>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</si>
  <si>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</si>
  <si>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</si>
  <si>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</si>
  <si>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</si>
  <si>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</si>
  <si>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</si>
  <si>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</si>
  <si>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</si>
  <si>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</si>
  <si>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</si>
  <si>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</si>
  <si>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</si>
  <si>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</si>
  <si>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</si>
  <si>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</si>
  <si>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</si>
  <si>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</si>
  <si>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</si>
  <si>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</si>
  <si>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</si>
  <si>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</si>
  <si>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</si>
  <si>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</si>
  <si>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</si>
  <si>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</si>
  <si>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</si>
  <si>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</si>
  <si>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</si>
  <si>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</si>
  <si>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</si>
  <si>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</si>
  <si>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</si>
  <si>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</si>
  <si>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</si>
  <si>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</si>
  <si>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</si>
  <si>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</si>
  <si>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</si>
  <si>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</si>
  <si>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</si>
  <si>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</si>
  <si>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</si>
  <si>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</si>
  <si>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</si>
  <si>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</si>
  <si>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</si>
  <si>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</si>
  <si>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</si>
  <si>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</si>
  <si>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</si>
  <si>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</si>
  <si>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</si>
  <si>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</si>
  <si>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</si>
  <si>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</si>
  <si>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</si>
  <si>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</si>
  <si>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</si>
  <si>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</si>
  <si>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</si>
  <si>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</si>
  <si>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</si>
  <si>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</si>
  <si>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</si>
  <si>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</si>
  <si>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</si>
  <si>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</si>
  <si>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</si>
  <si>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</si>
  <si>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</si>
  <si>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</si>
  <si>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</si>
  <si>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</si>
  <si>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</si>
  <si>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</si>
  <si>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</si>
  <si>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</si>
  <si>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</si>
  <si>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</si>
  <si>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</si>
  <si>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</si>
  <si>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</si>
  <si>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</si>
  <si>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Step #</t>
  </si>
  <si>
    <t>Check Performed</t>
  </si>
  <si>
    <t>What I Looked For</t>
  </si>
  <si>
    <t>Finding</t>
  </si>
  <si>
    <t>Count / Value</t>
  </si>
  <si>
    <t>Status</t>
  </si>
  <si>
    <t>Action Taken</t>
  </si>
  <si>
    <t>Impact on Analysis</t>
  </si>
  <si>
    <t>Shape &amp; Dimensions</t>
  </si>
  <si>
    <t>Confirm row/column count before anything else</t>
  </si>
  <si>
    <t>1,408 rows × 16 columns</t>
  </si>
  <si>
    <t>1408 rows</t>
  </si>
  <si>
    <t>PASS</t>
  </si>
  <si>
    <t>Noted as starting point. Used as baseline for all subsequent checks.</t>
  </si>
  <si>
    <t>Baseline established</t>
  </si>
  <si>
    <t>Column Names &amp; Data Types</t>
  </si>
  <si>
    <t>Check if all expected fields exist and have correct dtype</t>
  </si>
  <si>
    <t>All 16 fields present. signup_date is datetime, binary cols are int64, revenue/score are float64</t>
  </si>
  <si>
    <t>No issues</t>
  </si>
  <si>
    <t>No renaming needed. Dtypes match expected format.</t>
  </si>
  <si>
    <t>Proceeded with existing column names</t>
  </si>
  <si>
    <t>Missing Values — All Cols</t>
  </si>
  <si>
    <t>ISNULL count per column</t>
  </si>
  <si>
    <t>device_type: 18 nulls | traffic_source: 24 nulls | engagement_score: 14 nulls | days_to_convert: 1,336 nulls</t>
  </si>
  <si>
    <t>18 / 24 / 14 / 1336</t>
  </si>
  <si>
    <t>WARN</t>
  </si>
  <si>
    <t>device_type &amp; traffic_source: retained rows, excluded from segment breakdowns. engagement_score: excluded from averages. days_to_convert: expected null for non-converters — no action.</t>
  </si>
  <si>
    <t>Rows retained; excluded from relevant segment calcs</t>
  </si>
  <si>
    <t>Duplicate User IDs</t>
  </si>
  <si>
    <t>Check if any user_id appears more than once</t>
  </si>
  <si>
    <t>8 duplicate user_ids found. All duplicates were exact row copies within the same group (Control or Treatment).</t>
  </si>
  <si>
    <t>8 duplicate rows</t>
  </si>
  <si>
    <t>FAIL</t>
  </si>
  <si>
    <t>Removed 8 duplicate rows using keep='first'. Final dataset: 1,400 rows.</t>
  </si>
  <si>
    <t>Group Balance</t>
  </si>
  <si>
    <t>Count users per experiment group after dedup</t>
  </si>
  <si>
    <t>Control: 690 | Treatment: 710 — difference of 20 users (~1.4%)</t>
  </si>
  <si>
    <t>690 vs 710</t>
  </si>
  <si>
    <t>Imbalance of 1.4% is within acceptable range for A/B test. No resampling needed.</t>
  </si>
  <si>
    <t>Slight imbalance noted; accounted for in rate calculations</t>
  </si>
  <si>
    <t>Binary Column Validity</t>
  </si>
  <si>
    <t>Check that 0/1 columns contain only 0 or 1 (no nulls, no 2s, no strings)</t>
  </si>
  <si>
    <t>All 5 binary columns (LP visit, trial start, onboarding, conversion, refund) contain only 0 and 1</t>
  </si>
  <si>
    <t>No invalid values</t>
  </si>
  <si>
    <t>No action needed.</t>
  </si>
  <si>
    <t>Binary columns validated for proportion calculations</t>
  </si>
  <si>
    <t>Revenue Outliers</t>
  </si>
  <si>
    <t>Check revenue_30d for values &gt; mean + 3 standard deviations (among converted users)</t>
  </si>
  <si>
    <t>2 outliers identified: USR-100106 ($8,610.72) and USR-100303 ($6,788.95). Both in Control group.</t>
  </si>
  <si>
    <t>2 outliers</t>
  </si>
  <si>
    <t>Retained both records — values are plausible high-tier plan revenue and not data entry errors. Flagged in analysis.</t>
  </si>
  <si>
    <t>Noted in revenue per converted user metric; may inflate Control baseline</t>
  </si>
  <si>
    <t>Segment Distribution</t>
  </si>
  <si>
    <t>Check if region, device, traffic source, plan type are roughly balanced across groups</t>
  </si>
  <si>
    <t>All segments show reasonable balance. Mobile is dominant (~62% of users). Organic is top traffic source (~35%). Free plan is most common (~52%).</t>
  </si>
  <si>
    <t>Balanced across groups</t>
  </si>
  <si>
    <t>No stratification correction needed. Segment-level analysis valid.</t>
  </si>
  <si>
    <t>Segment breakdowns are comparable across groups</t>
  </si>
  <si>
    <t>days_to_convert Logic Check</t>
  </si>
  <si>
    <t>Verify non-converted users have null days_to_convert; converted users have a value</t>
  </si>
  <si>
    <t>1,336 nulls in days_to_convert. Total converters = 72. 1400 - 72 = 1328. Difference of 8 may be due to some converters also missing this field.</t>
  </si>
  <si>
    <t>1336 nulls (expected ~1328)</t>
  </si>
  <si>
    <t>8 converters appear to have null days_to_convert. These excluded from avg days-to-convert calculation.</t>
  </si>
  <si>
    <t>Minor: 8 converters excluded from speed-to-convert metric</t>
  </si>
  <si>
    <t>Final Clean Dataset</t>
  </si>
  <si>
    <t>Confirm final state after all steps</t>
  </si>
  <si>
    <t>1,400 rows, 16 columns. All critical columns clean. Nulls documented and handled.</t>
  </si>
  <si>
    <t>1,400 clean rows</t>
  </si>
  <si>
    <t>Dataset ready for analysis. No further cleaning needed.</t>
  </si>
  <si>
    <t>Analysis proceeds on 1,400-row clean dataset</t>
  </si>
  <si>
    <t>Row count reduced from 1,408 ? 1,400</t>
  </si>
  <si>
    <t>Column</t>
  </si>
  <si>
    <t>Null Count</t>
  </si>
  <si>
    <t>% Missing</t>
  </si>
  <si>
    <t>Type of Null</t>
  </si>
  <si>
    <t>Is Expected?</t>
  </si>
  <si>
    <t>Handling Decision</t>
  </si>
  <si>
    <t>N/A</t>
  </si>
  <si>
    <t>No action needed</t>
  </si>
  <si>
    <t>Missing at random</t>
  </si>
  <si>
    <t>No — data gap</t>
  </si>
  <si>
    <t>Retain rows; exclude from device segment analysis</t>
  </si>
  <si>
    <t>Retain rows; exclude from traffic source analysis</t>
  </si>
  <si>
    <t>N/A (non-converters = 0)</t>
  </si>
  <si>
    <t>Yes — 0 is correct for non-converters</t>
  </si>
  <si>
    <t>No action needed; 0 values are meaningful</t>
  </si>
  <si>
    <t>Structurally missing</t>
  </si>
  <si>
    <t>Yes — only converters have a value</t>
  </si>
  <si>
    <t>No action; avg calculated on converters only (n=72 approx)</t>
  </si>
  <si>
    <t>No — minor data gap</t>
  </si>
  <si>
    <t>Exclude from mean; note in findings</t>
  </si>
  <si>
    <t>Group</t>
  </si>
  <si>
    <t>Occurrences</t>
  </si>
  <si>
    <t>Row Positions (0-indexed)</t>
  </si>
  <si>
    <t>Resolution</t>
  </si>
  <si>
    <t>Notes</t>
  </si>
  <si>
    <t>Rows 95 and 1403</t>
  </si>
  <si>
    <t>Kept row 95 — removed row 1403</t>
  </si>
  <si>
    <t>Exact copy</t>
  </si>
  <si>
    <t>Rows 432 and 1401</t>
  </si>
  <si>
    <t>Kept row 432 — removed row 1401</t>
  </si>
  <si>
    <t>Rows 540 and 1407</t>
  </si>
  <si>
    <t>Kept row 540 — removed row 1407</t>
  </si>
  <si>
    <t>Rows 916 and 1400</t>
  </si>
  <si>
    <t>Kept row 916 — removed row 1400</t>
  </si>
  <si>
    <t>Rows 1058 and 1406</t>
  </si>
  <si>
    <t>Kept row 1058 — removed row 1406</t>
  </si>
  <si>
    <t>Rows 1209 and 1404</t>
  </si>
  <si>
    <t>Kept row 1209 — removed row 1404</t>
  </si>
  <si>
    <t>Rows 1231 and 1405</t>
  </si>
  <si>
    <t>Kept row 1231 — removed row 1405</t>
  </si>
  <si>
    <t>Rows 1361 and 1402</t>
  </si>
  <si>
    <t>Kept row 1361 — removed row 1402</t>
  </si>
  <si>
    <t>TOTAL REMOVED</t>
  </si>
  <si>
    <t>1,408 → 1,400 rows after dedup</t>
  </si>
  <si>
    <t>Original row count</t>
  </si>
  <si>
    <t>Duplicate rows removed</t>
  </si>
  <si>
    <t>Final row count</t>
  </si>
  <si>
    <t>Columns</t>
  </si>
  <si>
    <t>Control group (n)</t>
  </si>
  <si>
    <t>Treatment group (n)</t>
  </si>
  <si>
    <t>Group imbalance</t>
  </si>
  <si>
    <t>~1.4% — acceptable</t>
  </si>
  <si>
    <t>Missing: device_type</t>
  </si>
  <si>
    <t>18 rows — retained, excluded from segment</t>
  </si>
  <si>
    <t>Missing: traffic_source</t>
  </si>
  <si>
    <t>24 rows — retained, excluded from segment</t>
  </si>
  <si>
    <t>Missing: engagement_score</t>
  </si>
  <si>
    <t>14 rows — excluded from avg calculation</t>
  </si>
  <si>
    <t>Missing: days_to_convert</t>
  </si>
  <si>
    <t>1,336 rows — expected (non-converters)</t>
  </si>
  <si>
    <t>Revenue outliers retained</t>
  </si>
  <si>
    <t>2 (both in Control; plausible values)</t>
  </si>
  <si>
    <t>Binary columns valid</t>
  </si>
  <si>
    <t>Yes — all contain only 0 or 1</t>
  </si>
  <si>
    <t>Segment balance</t>
  </si>
  <si>
    <t>Acceptable across all 4 segments</t>
  </si>
  <si>
    <t>Dataset status</t>
  </si>
  <si>
    <t>CLEAN — ready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</si>
</sst>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charset val="1"/>
    </font>
    <font>
      <b/>
      <sz val="10"/>
      <color rgb="FF1F1F1F"/>
      <name val="Calibri"/>
      <family val="2"/>
    </font>
    <font>
      <sz val="10"/>
      <color rgb="FF1F1F1F"/>
      <name val="Calibri"/>
      <family val="2"/>
    </font>
    <font>
      <b/>
      <sz val="9"/>
      <color rgb="FF1F1F1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1F1F1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DDEEFF"/>
        <bgColor rgb="FFEEF4FD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5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2" fillId="0" borderId="0" xfId="1"/>
    <xf numFmtId="164" fontId="2" fillId="0" borderId="0" xfId="1" applyNumberFormat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8" fillId="10" borderId="0" xfId="0" applyFont="1" applyFill="1"/>
    <xf numFmtId="0" fontId="9" fillId="11" borderId="0" xfId="0" applyFont="1" applyFill="1"/>
    <xf numFmtId="0" fontId="10" fillId="5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" fillId="12" borderId="3" xfId="0" applyFont="1" applyFill="1" applyBorder="1"/>
    <xf numFmtId="3" fontId="1" fillId="12" borderId="3" xfId="0" applyNumberFormat="1" applyFont="1" applyFill="1" applyBorder="1"/>
    <xf numFmtId="0" fontId="1" fillId="12" borderId="3" xfId="0" applyNumberFormat="1" applyFont="1" applyFill="1" applyBorder="1"/>
  </cellXfs>
  <cellStyles count="3">
    <cellStyle name="Normal" xfId="0" builtinId="0"/>
    <cellStyle name="Normal 2" xfId="1" xr:uid="{3D880357-445D-4115-81B6-52AA6163024C}"/>
    <cellStyle name="Normal 3" xfId="2" xr:uid="{FC4870B4-9B46-4144-872B-F5098C1107CE}"/>
  </cellStyles>
  <dxfs count="4">
    <dxf>
      <font>
        <b/>
        <i val="0"/>
      </font>
      <fill>
        <patternFill patternType="solid">
          <fgColor rgb="FF92D050"/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F6C547-ED36-4F36-9C77-F5FB23071DBA}" name="Table1" displayName="Table1" ref="A2:H12" totalsRowShown="0">
  <autoFilter ref="A2:H12" xr:uid="{53F6C547-ED36-4F36-9C77-F5FB23071D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C0BBE08-D8B0-4B6D-B849-F2E351CFD242}" name="Step #"/>
    <tableColumn id="2" xr3:uid="{BA84EB3F-A7A9-4683-AC4E-729BD44910B6}" name="Check Performed"/>
    <tableColumn id="3" xr3:uid="{4C98626C-2600-475C-BF32-C18CC4CF4FC1}" name="What I Looked For"/>
    <tableColumn id="4" xr3:uid="{657078D6-7B81-439A-87BB-A94EA1A62C89}" name="Finding" dataDxfId="3"/>
    <tableColumn id="5" xr3:uid="{1E742B27-ACA0-488E-AF18-1B665F990F2B}" name="Count / Value"/>
    <tableColumn id="6" xr3:uid="{E44A63F9-BE45-49CD-9132-74CE538EDCC9}" name="Status"/>
    <tableColumn id="7" xr3:uid="{3E4F41E9-6539-4D27-ADA9-106FA0C0CC86}" name="Action Taken" dataDxfId="2"/>
    <tableColumn id="8" xr3:uid="{38A64FEF-80C5-4E66-99C7-44D2838A4603}" name="Impact on Analysi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C5BB-B4B3-4E73-B451-CB777BC51143}">
  <dimension ref="A1:P1409"/>
  <sheetViews>
    <sheetView workbookViewId="0"/>
  </sheetViews>
  <sheetFormatPr defaultRowHeight="13.8"/>
  <cols>
    <col min="1" max="16" width="17.77734375" style="2" customWidth="1"/>
    <col min="17" max="16384" width="8.88671875" style="2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P1401" s="2">
        <v>55.7</v>
      </c>
    </row>
    <row r="1402" spans="1:16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P1402" s="2">
        <v>70.599999999999994</v>
      </c>
    </row>
    <row r="1403" spans="1:16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P1403" s="2">
        <v>60.9</v>
      </c>
    </row>
    <row r="1404" spans="1:16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P1404" s="2">
        <v>33.6</v>
      </c>
    </row>
    <row r="1405" spans="1:16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P1405" s="2">
        <v>68</v>
      </c>
    </row>
    <row r="1406" spans="1:16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P1406" s="2">
        <v>62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P1407" s="2">
        <v>72.5</v>
      </c>
    </row>
    <row r="1408" spans="1:16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P1408" s="2">
        <v>70.3</v>
      </c>
    </row>
    <row r="1409" spans="1:16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P1409" s="2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workbookViewId="0">
      <selection activeCell="D12" sqref="D12"/>
    </sheetView>
  </sheetViews>
  <sheetFormatPr defaultRowHeight="14.4"/>
  <cols>
    <col min="2" max="2" width="25" bestFit="1" customWidth="1"/>
    <col min="3" max="3" width="73.109375" bestFit="1" customWidth="1"/>
    <col min="4" max="4" width="122.88671875" bestFit="1" customWidth="1"/>
    <col min="5" max="5" width="14" customWidth="1"/>
    <col min="7" max="7" width="160.77734375" bestFit="1" customWidth="1"/>
    <col min="8" max="8" width="61.44140625" bestFit="1" customWidth="1"/>
  </cols>
  <sheetData>
    <row r="2" spans="1:8">
      <c r="A2" t="s">
        <v>1433</v>
      </c>
      <c r="B2" t="s">
        <v>1434</v>
      </c>
      <c r="C2" t="s">
        <v>1435</v>
      </c>
      <c r="D2" t="s">
        <v>1436</v>
      </c>
      <c r="E2" t="s">
        <v>1437</v>
      </c>
      <c r="F2" t="s">
        <v>1438</v>
      </c>
      <c r="G2" t="s">
        <v>1439</v>
      </c>
      <c r="H2" t="s">
        <v>1440</v>
      </c>
    </row>
    <row r="3" spans="1:8">
      <c r="A3">
        <v>1</v>
      </c>
      <c r="B3" t="s">
        <v>1441</v>
      </c>
      <c r="C3" t="s">
        <v>1442</v>
      </c>
      <c r="D3" s="4" t="s">
        <v>1443</v>
      </c>
      <c r="E3" t="s">
        <v>1444</v>
      </c>
      <c r="F3" s="5" t="s">
        <v>1445</v>
      </c>
      <c r="G3" s="4" t="s">
        <v>1446</v>
      </c>
      <c r="H3" t="s">
        <v>1447</v>
      </c>
    </row>
    <row r="4" spans="1:8">
      <c r="A4">
        <v>2</v>
      </c>
      <c r="B4" t="s">
        <v>1448</v>
      </c>
      <c r="C4" t="s">
        <v>1449</v>
      </c>
      <c r="D4" s="4" t="s">
        <v>1450</v>
      </c>
      <c r="E4" t="s">
        <v>1451</v>
      </c>
      <c r="F4" s="5" t="s">
        <v>1445</v>
      </c>
      <c r="G4" s="4" t="s">
        <v>1452</v>
      </c>
      <c r="H4" t="s">
        <v>1453</v>
      </c>
    </row>
    <row r="5" spans="1:8">
      <c r="A5">
        <v>3</v>
      </c>
      <c r="B5" t="s">
        <v>1454</v>
      </c>
      <c r="C5" t="s">
        <v>1455</v>
      </c>
      <c r="D5" s="4" t="s">
        <v>1456</v>
      </c>
      <c r="E5" t="s">
        <v>1457</v>
      </c>
      <c r="F5" s="6" t="s">
        <v>1458</v>
      </c>
      <c r="G5" s="4" t="s">
        <v>1459</v>
      </c>
      <c r="H5" t="s">
        <v>1460</v>
      </c>
    </row>
    <row r="6" spans="1:8">
      <c r="A6">
        <v>4</v>
      </c>
      <c r="B6" t="s">
        <v>1461</v>
      </c>
      <c r="C6" t="s">
        <v>1462</v>
      </c>
      <c r="D6" s="4" t="s">
        <v>1463</v>
      </c>
      <c r="E6" t="s">
        <v>1464</v>
      </c>
      <c r="F6" s="7" t="s">
        <v>1465</v>
      </c>
      <c r="G6" s="4" t="s">
        <v>1466</v>
      </c>
      <c r="H6" t="s">
        <v>1503</v>
      </c>
    </row>
    <row r="7" spans="1:8">
      <c r="A7">
        <v>5</v>
      </c>
      <c r="B7" t="s">
        <v>1467</v>
      </c>
      <c r="C7" t="s">
        <v>1468</v>
      </c>
      <c r="D7" s="4" t="s">
        <v>1469</v>
      </c>
      <c r="E7" t="s">
        <v>1470</v>
      </c>
      <c r="F7" s="5" t="s">
        <v>1445</v>
      </c>
      <c r="G7" s="4" t="s">
        <v>1471</v>
      </c>
      <c r="H7" t="s">
        <v>1472</v>
      </c>
    </row>
    <row r="8" spans="1:8">
      <c r="A8">
        <v>6</v>
      </c>
      <c r="B8" t="s">
        <v>1473</v>
      </c>
      <c r="C8" t="s">
        <v>1474</v>
      </c>
      <c r="D8" s="4" t="s">
        <v>1475</v>
      </c>
      <c r="E8" t="s">
        <v>1476</v>
      </c>
      <c r="F8" s="5" t="s">
        <v>1445</v>
      </c>
      <c r="G8" s="4" t="s">
        <v>1477</v>
      </c>
      <c r="H8" t="s">
        <v>1478</v>
      </c>
    </row>
    <row r="9" spans="1:8">
      <c r="A9">
        <v>7</v>
      </c>
      <c r="B9" t="s">
        <v>1479</v>
      </c>
      <c r="C9" t="s">
        <v>1480</v>
      </c>
      <c r="D9" s="4" t="s">
        <v>1481</v>
      </c>
      <c r="E9" t="s">
        <v>1482</v>
      </c>
      <c r="F9" s="6" t="s">
        <v>1458</v>
      </c>
      <c r="G9" s="4" t="s">
        <v>1483</v>
      </c>
      <c r="H9" t="s">
        <v>1484</v>
      </c>
    </row>
    <row r="10" spans="1:8">
      <c r="A10">
        <v>8</v>
      </c>
      <c r="B10" t="s">
        <v>1485</v>
      </c>
      <c r="C10" t="s">
        <v>1486</v>
      </c>
      <c r="D10" s="4" t="s">
        <v>1487</v>
      </c>
      <c r="E10" t="s">
        <v>1488</v>
      </c>
      <c r="F10" s="5" t="s">
        <v>1445</v>
      </c>
      <c r="G10" s="4" t="s">
        <v>1489</v>
      </c>
      <c r="H10" t="s">
        <v>1490</v>
      </c>
    </row>
    <row r="11" spans="1:8">
      <c r="A11">
        <v>9</v>
      </c>
      <c r="B11" t="s">
        <v>1491</v>
      </c>
      <c r="C11" t="s">
        <v>1492</v>
      </c>
      <c r="D11" s="4" t="s">
        <v>1493</v>
      </c>
      <c r="E11" t="s">
        <v>1494</v>
      </c>
      <c r="F11" s="6" t="s">
        <v>1458</v>
      </c>
      <c r="G11" s="4" t="s">
        <v>1495</v>
      </c>
      <c r="H11" t="s">
        <v>1496</v>
      </c>
    </row>
    <row r="12" spans="1:8">
      <c r="A12">
        <v>10</v>
      </c>
      <c r="B12" t="s">
        <v>1497</v>
      </c>
      <c r="C12" t="s">
        <v>1498</v>
      </c>
      <c r="D12" s="4" t="s">
        <v>1499</v>
      </c>
      <c r="E12" t="s">
        <v>1500</v>
      </c>
      <c r="F12" s="5" t="s">
        <v>1445</v>
      </c>
      <c r="G12" s="4" t="s">
        <v>1501</v>
      </c>
      <c r="H12" t="s">
        <v>1502</v>
      </c>
    </row>
  </sheetData>
  <conditionalFormatting sqref="F3:F12">
    <cfRule type="cellIs" dxfId="0" priority="1" operator="equal">
      <formula>PASS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14F5-2C28-4FC1-B3DD-FEC1FF34D52E}">
  <dimension ref="A2:F19"/>
  <sheetViews>
    <sheetView workbookViewId="0">
      <selection activeCell="G8" sqref="G8"/>
    </sheetView>
  </sheetViews>
  <sheetFormatPr defaultRowHeight="14.4"/>
  <cols>
    <col min="1" max="1" width="20.109375" bestFit="1" customWidth="1"/>
    <col min="2" max="2" width="9.5546875" bestFit="1" customWidth="1"/>
    <col min="3" max="3" width="12" bestFit="1" customWidth="1"/>
    <col min="4" max="4" width="21.44140625" bestFit="1" customWidth="1"/>
    <col min="5" max="5" width="31.77734375" bestFit="1" customWidth="1"/>
    <col min="6" max="6" width="49.77734375" bestFit="1" customWidth="1"/>
  </cols>
  <sheetData>
    <row r="2" spans="1:6" ht="15.6">
      <c r="A2" s="8" t="s">
        <v>1504</v>
      </c>
      <c r="B2" s="8" t="s">
        <v>1505</v>
      </c>
      <c r="C2" s="8" t="s">
        <v>1506</v>
      </c>
      <c r="D2" s="8" t="s">
        <v>1507</v>
      </c>
      <c r="E2" s="8" t="s">
        <v>1508</v>
      </c>
      <c r="F2" s="8" t="s">
        <v>1509</v>
      </c>
    </row>
    <row r="3" spans="1:6" ht="15.6">
      <c r="A3" s="9" t="s">
        <v>0</v>
      </c>
      <c r="B3" s="9">
        <v>0</v>
      </c>
      <c r="C3" s="9">
        <f t="shared" ref="C3:C18" si="0">B3/1408</f>
        <v>0</v>
      </c>
      <c r="D3" s="9" t="s">
        <v>1510</v>
      </c>
      <c r="E3" s="9" t="s">
        <v>1510</v>
      </c>
      <c r="F3" s="9" t="s">
        <v>1511</v>
      </c>
    </row>
    <row r="4" spans="1:6" ht="15.6">
      <c r="A4" s="9" t="s">
        <v>1</v>
      </c>
      <c r="B4" s="9">
        <v>0</v>
      </c>
      <c r="C4" s="9">
        <f t="shared" si="0"/>
        <v>0</v>
      </c>
      <c r="D4" s="9" t="s">
        <v>1510</v>
      </c>
      <c r="E4" s="9" t="s">
        <v>1510</v>
      </c>
      <c r="F4" s="9" t="s">
        <v>1511</v>
      </c>
    </row>
    <row r="5" spans="1:6" ht="15.6">
      <c r="A5" s="9" t="s">
        <v>2</v>
      </c>
      <c r="B5" s="9">
        <v>0</v>
      </c>
      <c r="C5" s="9">
        <f t="shared" si="0"/>
        <v>0</v>
      </c>
      <c r="D5" s="9" t="s">
        <v>1510</v>
      </c>
      <c r="E5" s="9" t="s">
        <v>1510</v>
      </c>
      <c r="F5" s="9" t="s">
        <v>1511</v>
      </c>
    </row>
    <row r="6" spans="1:6" ht="15.6">
      <c r="A6" s="9" t="s">
        <v>3</v>
      </c>
      <c r="B6" s="9">
        <v>0</v>
      </c>
      <c r="C6" s="9">
        <f t="shared" si="0"/>
        <v>0</v>
      </c>
      <c r="D6" s="9" t="s">
        <v>1510</v>
      </c>
      <c r="E6" s="9" t="s">
        <v>1510</v>
      </c>
      <c r="F6" s="9" t="s">
        <v>1511</v>
      </c>
    </row>
    <row r="7" spans="1:6" ht="15.6">
      <c r="A7" s="9" t="s">
        <v>4</v>
      </c>
      <c r="B7" s="9">
        <v>18</v>
      </c>
      <c r="C7" s="9">
        <f t="shared" si="0"/>
        <v>1.278409090909091E-2</v>
      </c>
      <c r="D7" s="9" t="s">
        <v>1512</v>
      </c>
      <c r="E7" s="9" t="s">
        <v>1513</v>
      </c>
      <c r="F7" s="9" t="s">
        <v>1514</v>
      </c>
    </row>
    <row r="8" spans="1:6" ht="15.6">
      <c r="A8" s="9" t="s">
        <v>5</v>
      </c>
      <c r="B8" s="9">
        <v>24</v>
      </c>
      <c r="C8" s="9">
        <f t="shared" si="0"/>
        <v>1.7045454545454544E-2</v>
      </c>
      <c r="D8" s="9" t="s">
        <v>1512</v>
      </c>
      <c r="E8" s="9" t="s">
        <v>1513</v>
      </c>
      <c r="F8" s="9" t="s">
        <v>1515</v>
      </c>
    </row>
    <row r="9" spans="1:6" ht="15.6">
      <c r="A9" s="9" t="s">
        <v>6</v>
      </c>
      <c r="B9" s="9">
        <v>0</v>
      </c>
      <c r="C9" s="9">
        <f t="shared" si="0"/>
        <v>0</v>
      </c>
      <c r="D9" s="9" t="s">
        <v>1510</v>
      </c>
      <c r="E9" s="9" t="s">
        <v>1510</v>
      </c>
      <c r="F9" s="9" t="s">
        <v>1511</v>
      </c>
    </row>
    <row r="10" spans="1:6" ht="15.6">
      <c r="A10" s="9" t="s">
        <v>7</v>
      </c>
      <c r="B10" s="9">
        <v>0</v>
      </c>
      <c r="C10" s="9">
        <f t="shared" si="0"/>
        <v>0</v>
      </c>
      <c r="D10" s="9" t="s">
        <v>1510</v>
      </c>
      <c r="E10" s="9" t="s">
        <v>1510</v>
      </c>
      <c r="F10" s="9" t="s">
        <v>1511</v>
      </c>
    </row>
    <row r="11" spans="1:6" ht="15.6">
      <c r="A11" s="9" t="s">
        <v>8</v>
      </c>
      <c r="B11" s="9">
        <v>0</v>
      </c>
      <c r="C11" s="9">
        <f t="shared" si="0"/>
        <v>0</v>
      </c>
      <c r="D11" s="9" t="s">
        <v>1510</v>
      </c>
      <c r="E11" s="9" t="s">
        <v>1510</v>
      </c>
      <c r="F11" s="9" t="s">
        <v>1511</v>
      </c>
    </row>
    <row r="12" spans="1:6" ht="15.6">
      <c r="A12" s="9" t="s">
        <v>9</v>
      </c>
      <c r="B12" s="9">
        <v>0</v>
      </c>
      <c r="C12" s="9">
        <f t="shared" si="0"/>
        <v>0</v>
      </c>
      <c r="D12" s="9" t="s">
        <v>1510</v>
      </c>
      <c r="E12" s="9" t="s">
        <v>1510</v>
      </c>
      <c r="F12" s="9" t="s">
        <v>1511</v>
      </c>
    </row>
    <row r="13" spans="1:6" ht="15.6">
      <c r="A13" s="9" t="s">
        <v>10</v>
      </c>
      <c r="B13" s="9">
        <v>0</v>
      </c>
      <c r="C13" s="9">
        <f t="shared" si="0"/>
        <v>0</v>
      </c>
      <c r="D13" s="9" t="s">
        <v>1510</v>
      </c>
      <c r="E13" s="9" t="s">
        <v>1510</v>
      </c>
      <c r="F13" s="9" t="s">
        <v>1511</v>
      </c>
    </row>
    <row r="14" spans="1:6" ht="15.6">
      <c r="A14" s="9" t="s">
        <v>11</v>
      </c>
      <c r="B14" s="9">
        <v>0</v>
      </c>
      <c r="C14" s="9">
        <f t="shared" si="0"/>
        <v>0</v>
      </c>
      <c r="D14" s="9" t="s">
        <v>1516</v>
      </c>
      <c r="E14" s="9" t="s">
        <v>1517</v>
      </c>
      <c r="F14" s="9" t="s">
        <v>1518</v>
      </c>
    </row>
    <row r="15" spans="1:6" ht="15.6">
      <c r="A15" s="9" t="s">
        <v>12</v>
      </c>
      <c r="B15" s="9">
        <v>0</v>
      </c>
      <c r="C15" s="9">
        <f t="shared" si="0"/>
        <v>0</v>
      </c>
      <c r="D15" s="9" t="s">
        <v>1510</v>
      </c>
      <c r="E15" s="9" t="s">
        <v>1510</v>
      </c>
      <c r="F15" s="9" t="s">
        <v>1511</v>
      </c>
    </row>
    <row r="16" spans="1:6" ht="15.6">
      <c r="A16" s="9" t="s">
        <v>13</v>
      </c>
      <c r="B16" s="9">
        <v>0</v>
      </c>
      <c r="C16" s="9">
        <f t="shared" si="0"/>
        <v>0</v>
      </c>
      <c r="D16" s="9" t="s">
        <v>1510</v>
      </c>
      <c r="E16" s="9" t="s">
        <v>1510</v>
      </c>
      <c r="F16" s="9" t="s">
        <v>1511</v>
      </c>
    </row>
    <row r="17" spans="1:6" ht="15.6">
      <c r="A17" s="9" t="s">
        <v>14</v>
      </c>
      <c r="B17" s="9">
        <v>1336</v>
      </c>
      <c r="C17" s="9">
        <f t="shared" si="0"/>
        <v>0.94886363636363635</v>
      </c>
      <c r="D17" s="9" t="s">
        <v>1519</v>
      </c>
      <c r="E17" s="9" t="s">
        <v>1520</v>
      </c>
      <c r="F17" s="9" t="s">
        <v>1521</v>
      </c>
    </row>
    <row r="18" spans="1:6" ht="15.6">
      <c r="A18" s="9" t="s">
        <v>15</v>
      </c>
      <c r="B18" s="9">
        <v>14</v>
      </c>
      <c r="C18" s="9">
        <f t="shared" si="0"/>
        <v>9.943181818181818E-3</v>
      </c>
      <c r="D18" s="9" t="s">
        <v>1512</v>
      </c>
      <c r="E18" s="9" t="s">
        <v>1522</v>
      </c>
      <c r="F18" s="9" t="s">
        <v>1523</v>
      </c>
    </row>
    <row r="19" spans="1:6" ht="15.6">
      <c r="A19" s="9"/>
      <c r="B19" s="9"/>
      <c r="C19" s="9"/>
      <c r="D19" s="9"/>
      <c r="E19" s="9"/>
      <c r="F1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7C12-351C-4D7A-95CC-2A23D9A2247B}">
  <dimension ref="A2:F12"/>
  <sheetViews>
    <sheetView workbookViewId="0">
      <selection activeCell="L7" sqref="L7"/>
    </sheetView>
  </sheetViews>
  <sheetFormatPr defaultRowHeight="14.4"/>
  <cols>
    <col min="1" max="1" width="18.109375" customWidth="1"/>
    <col min="2" max="2" width="14.109375" customWidth="1"/>
    <col min="3" max="3" width="13.6640625" customWidth="1"/>
    <col min="4" max="4" width="23.109375" bestFit="1" customWidth="1"/>
    <col min="5" max="5" width="17.33203125" customWidth="1"/>
    <col min="6" max="6" width="17.5546875" customWidth="1"/>
  </cols>
  <sheetData>
    <row r="2" spans="1:6">
      <c r="A2" s="10" t="s">
        <v>0</v>
      </c>
      <c r="B2" s="10" t="s">
        <v>1524</v>
      </c>
      <c r="C2" s="10" t="s">
        <v>1525</v>
      </c>
      <c r="D2" s="10" t="s">
        <v>1526</v>
      </c>
      <c r="E2" s="10" t="s">
        <v>1527</v>
      </c>
      <c r="F2" s="10" t="s">
        <v>1528</v>
      </c>
    </row>
    <row r="3" spans="1:6" ht="27.6">
      <c r="A3" s="14" t="s">
        <v>127</v>
      </c>
      <c r="B3" s="15" t="s">
        <v>17</v>
      </c>
      <c r="C3" s="15">
        <v>2</v>
      </c>
      <c r="D3" s="16" t="s">
        <v>1529</v>
      </c>
      <c r="E3" s="17" t="s">
        <v>1530</v>
      </c>
      <c r="F3" s="16" t="s">
        <v>1531</v>
      </c>
    </row>
    <row r="4" spans="1:6" ht="27.6">
      <c r="A4" s="14" t="s">
        <v>464</v>
      </c>
      <c r="B4" s="15" t="s">
        <v>17</v>
      </c>
      <c r="C4" s="15">
        <v>2</v>
      </c>
      <c r="D4" s="16" t="s">
        <v>1532</v>
      </c>
      <c r="E4" s="17" t="s">
        <v>1533</v>
      </c>
      <c r="F4" s="16" t="s">
        <v>1531</v>
      </c>
    </row>
    <row r="5" spans="1:6" ht="27.6">
      <c r="A5" s="14" t="s">
        <v>572</v>
      </c>
      <c r="B5" s="15" t="s">
        <v>17</v>
      </c>
      <c r="C5" s="15">
        <v>2</v>
      </c>
      <c r="D5" s="16" t="s">
        <v>1534</v>
      </c>
      <c r="E5" s="17" t="s">
        <v>1535</v>
      </c>
      <c r="F5" s="16" t="s">
        <v>1531</v>
      </c>
    </row>
    <row r="6" spans="1:6" ht="27.6">
      <c r="A6" s="18" t="s">
        <v>949</v>
      </c>
      <c r="B6" s="19" t="s">
        <v>723</v>
      </c>
      <c r="C6" s="19">
        <v>2</v>
      </c>
      <c r="D6" s="20" t="s">
        <v>1536</v>
      </c>
      <c r="E6" s="21" t="s">
        <v>1537</v>
      </c>
      <c r="F6" s="20" t="s">
        <v>1531</v>
      </c>
    </row>
    <row r="7" spans="1:6" ht="27.6">
      <c r="A7" s="18" t="s">
        <v>1091</v>
      </c>
      <c r="B7" s="19" t="s">
        <v>723</v>
      </c>
      <c r="C7" s="19">
        <v>2</v>
      </c>
      <c r="D7" s="20" t="s">
        <v>1538</v>
      </c>
      <c r="E7" s="21" t="s">
        <v>1539</v>
      </c>
      <c r="F7" s="20" t="s">
        <v>1531</v>
      </c>
    </row>
    <row r="8" spans="1:6" ht="27.6">
      <c r="A8" s="18" t="s">
        <v>1242</v>
      </c>
      <c r="B8" s="19" t="s">
        <v>723</v>
      </c>
      <c r="C8" s="19">
        <v>2</v>
      </c>
      <c r="D8" s="20" t="s">
        <v>1540</v>
      </c>
      <c r="E8" s="21" t="s">
        <v>1541</v>
      </c>
      <c r="F8" s="20" t="s">
        <v>1531</v>
      </c>
    </row>
    <row r="9" spans="1:6" ht="27.6">
      <c r="A9" s="18" t="s">
        <v>1264</v>
      </c>
      <c r="B9" s="19" t="s">
        <v>723</v>
      </c>
      <c r="C9" s="19">
        <v>2</v>
      </c>
      <c r="D9" s="20" t="s">
        <v>1542</v>
      </c>
      <c r="E9" s="21" t="s">
        <v>1543</v>
      </c>
      <c r="F9" s="20" t="s">
        <v>1531</v>
      </c>
    </row>
    <row r="10" spans="1:6" ht="27.6">
      <c r="A10" s="18" t="s">
        <v>1394</v>
      </c>
      <c r="B10" s="19" t="s">
        <v>723</v>
      </c>
      <c r="C10" s="19">
        <v>2</v>
      </c>
      <c r="D10" s="20" t="s">
        <v>1544</v>
      </c>
      <c r="E10" s="21" t="s">
        <v>1545</v>
      </c>
      <c r="F10" s="20" t="s">
        <v>1531</v>
      </c>
    </row>
    <row r="12" spans="1:6" ht="24">
      <c r="A12" s="11" t="s">
        <v>1546</v>
      </c>
      <c r="B12" s="11"/>
      <c r="C12" s="12">
        <v>8</v>
      </c>
      <c r="D12" s="13" t="s">
        <v>1547</v>
      </c>
    </row>
  </sheetData>
  <mergeCells count="1"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9A06-DF12-4C8C-BA96-EDBFE1083C8E}">
  <dimension ref="A2:B20"/>
  <sheetViews>
    <sheetView tabSelected="1" workbookViewId="0">
      <selection activeCell="E8" sqref="E8"/>
    </sheetView>
  </sheetViews>
  <sheetFormatPr defaultRowHeight="14.4"/>
  <cols>
    <col min="1" max="1" width="23.77734375" bestFit="1" customWidth="1"/>
    <col min="2" max="2" width="37.44140625" bestFit="1" customWidth="1"/>
  </cols>
  <sheetData>
    <row r="2" spans="1:2">
      <c r="A2" s="22" t="s">
        <v>1548</v>
      </c>
      <c r="B2" s="23">
        <v>1408</v>
      </c>
    </row>
    <row r="3" spans="1:2">
      <c r="A3" s="22" t="s">
        <v>1549</v>
      </c>
      <c r="B3" s="24">
        <v>8</v>
      </c>
    </row>
    <row r="4" spans="1:2">
      <c r="A4" s="22" t="s">
        <v>1550</v>
      </c>
      <c r="B4" s="23">
        <v>1400</v>
      </c>
    </row>
    <row r="5" spans="1:2">
      <c r="A5" s="22" t="s">
        <v>1551</v>
      </c>
      <c r="B5" s="24">
        <v>16</v>
      </c>
    </row>
    <row r="6" spans="1:2">
      <c r="A6" s="22"/>
      <c r="B6" s="22"/>
    </row>
    <row r="7" spans="1:2">
      <c r="A7" s="22" t="s">
        <v>1552</v>
      </c>
      <c r="B7" s="24">
        <v>690</v>
      </c>
    </row>
    <row r="8" spans="1:2">
      <c r="A8" s="22" t="s">
        <v>1553</v>
      </c>
      <c r="B8" s="24">
        <v>710</v>
      </c>
    </row>
    <row r="9" spans="1:2">
      <c r="A9" s="22" t="s">
        <v>1554</v>
      </c>
      <c r="B9" s="22" t="s">
        <v>1555</v>
      </c>
    </row>
    <row r="10" spans="1:2">
      <c r="A10" s="22"/>
      <c r="B10" s="22"/>
    </row>
    <row r="11" spans="1:2">
      <c r="A11" s="22" t="s">
        <v>1556</v>
      </c>
      <c r="B11" s="22" t="s">
        <v>1557</v>
      </c>
    </row>
    <row r="12" spans="1:2">
      <c r="A12" s="22" t="s">
        <v>1558</v>
      </c>
      <c r="B12" s="22" t="s">
        <v>1559</v>
      </c>
    </row>
    <row r="13" spans="1:2">
      <c r="A13" s="22" t="s">
        <v>1560</v>
      </c>
      <c r="B13" s="22" t="s">
        <v>1561</v>
      </c>
    </row>
    <row r="14" spans="1:2">
      <c r="A14" s="22" t="s">
        <v>1562</v>
      </c>
      <c r="B14" s="22" t="s">
        <v>1563</v>
      </c>
    </row>
    <row r="15" spans="1:2">
      <c r="A15" s="22"/>
      <c r="B15" s="22"/>
    </row>
    <row r="16" spans="1:2">
      <c r="A16" s="22" t="s">
        <v>1564</v>
      </c>
      <c r="B16" s="22" t="s">
        <v>1565</v>
      </c>
    </row>
    <row r="17" spans="1:2">
      <c r="A17" s="22" t="s">
        <v>1566</v>
      </c>
      <c r="B17" s="22" t="s">
        <v>1567</v>
      </c>
    </row>
    <row r="18" spans="1:2">
      <c r="A18" s="22" t="s">
        <v>1568</v>
      </c>
      <c r="B18" s="22" t="s">
        <v>1569</v>
      </c>
    </row>
    <row r="19" spans="1:2">
      <c r="A19" s="22"/>
      <c r="B19" s="22"/>
    </row>
    <row r="20" spans="1:2">
      <c r="A20" s="22" t="s">
        <v>1570</v>
      </c>
      <c r="B20" s="22" t="s">
        <v>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experiment_data</vt:lpstr>
      <vt:lpstr>data_cleaning_log</vt:lpstr>
      <vt:lpstr>missing_values</vt:lpstr>
      <vt:lpstr>duplicate_records</vt:lpstr>
      <vt:lpstr>final_summary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2026-06-28T18:14:56Z</dcterms:modified>
</cp:coreProperties>
</file>